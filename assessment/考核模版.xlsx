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 activeTab="1"/>
  </bookViews>
  <sheets>
    <sheet name="要求" sheetId="3" r:id="rId1"/>
    <sheet name="人员情况表" sheetId="1" r:id="rId2"/>
    <sheet name="指标余留" sheetId="4" r:id="rId3"/>
    <sheet name="输出模版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<sst xmlns="http://schemas.openxmlformats.org/spreadsheetml/2006/main" count="244" uniqueCount="136">
  <si>
    <t>根据“人员情况表”，生成多个考核表供下载</t>
  </si>
  <si>
    <t>1、抬头需补充完整模块名称，涉及多个的用顿号分隔。</t>
  </si>
  <si>
    <t>2、分管领导对模块长、副模块长、模块人员打分。</t>
  </si>
  <si>
    <t>3、科室长对模块长、副模块长、模块人员打分。</t>
  </si>
  <si>
    <t>4、模块长对副模块长、模块人员打分。</t>
  </si>
  <si>
    <t>5、副模块长对模块人员打分。</t>
  </si>
  <si>
    <t>6、导出文件名为“职务-姓名”，如“分管领导-李选文”、“科室长-陈如荣”等。</t>
  </si>
  <si>
    <t>7、备注一栏写明模块名称及考核人数，可评定A档人数为总人数30%，B档人数为总人数40%，小数点后部分留存至下月使用。</t>
  </si>
  <si>
    <t>分管领导</t>
  </si>
  <si>
    <t>科室长</t>
  </si>
  <si>
    <t>模块长</t>
  </si>
  <si>
    <t>副模块长</t>
  </si>
  <si>
    <t>模块</t>
  </si>
  <si>
    <t>模块人员</t>
  </si>
  <si>
    <t>李选文</t>
  </si>
  <si>
    <t>陈如荣</t>
  </si>
  <si>
    <t>杨翔</t>
  </si>
  <si>
    <t>政务综合模块</t>
  </si>
  <si>
    <t>林乾数</t>
  </si>
  <si>
    <t>徐瑞泽</t>
  </si>
  <si>
    <t>肖瑶瑶</t>
  </si>
  <si>
    <t>陈曼婷</t>
  </si>
  <si>
    <t>缪克柱</t>
  </si>
  <si>
    <t>组织监督模块</t>
  </si>
  <si>
    <t>郑文库</t>
  </si>
  <si>
    <t>宣传教育模块</t>
  </si>
  <si>
    <t>欧倩倩</t>
  </si>
  <si>
    <t>杨允烈</t>
  </si>
  <si>
    <t>王飞</t>
  </si>
  <si>
    <t>综合协调模块</t>
  </si>
  <si>
    <t>孙祥泼</t>
  </si>
  <si>
    <t>张凌东</t>
  </si>
  <si>
    <t>平安综治模块</t>
  </si>
  <si>
    <t>彭婷婷</t>
  </si>
  <si>
    <t>缪乔羽</t>
  </si>
  <si>
    <t>董良鹏</t>
  </si>
  <si>
    <t>安全基础模块</t>
  </si>
  <si>
    <t>李传兴</t>
  </si>
  <si>
    <t>程建和</t>
  </si>
  <si>
    <t>陈旭文</t>
  </si>
  <si>
    <t>杨允代</t>
  </si>
  <si>
    <t>江洁</t>
  </si>
  <si>
    <t>李梦竹</t>
  </si>
  <si>
    <t>黄通裕</t>
  </si>
  <si>
    <t>沈益秀</t>
  </si>
  <si>
    <t>执法监督模块</t>
  </si>
  <si>
    <t>严律</t>
  </si>
  <si>
    <t>陈杰</t>
  </si>
  <si>
    <t>金邦铁</t>
  </si>
  <si>
    <t>蔡福东</t>
  </si>
  <si>
    <t>危化监管模块</t>
  </si>
  <si>
    <t>李宗瀚</t>
  </si>
  <si>
    <t>任绪东</t>
  </si>
  <si>
    <t>林孟亮</t>
  </si>
  <si>
    <t>政策法规模块</t>
  </si>
  <si>
    <t>郑鹏程</t>
  </si>
  <si>
    <t>项延强</t>
  </si>
  <si>
    <t>何必晓</t>
  </si>
  <si>
    <t>夏争争</t>
  </si>
  <si>
    <t>火灾防治模块</t>
  </si>
  <si>
    <t>尤式彪</t>
  </si>
  <si>
    <t>杨仲佑</t>
  </si>
  <si>
    <t>指挥预案模块</t>
  </si>
  <si>
    <t>陈安相</t>
  </si>
  <si>
    <t>郑元群</t>
  </si>
  <si>
    <t>应急保障模块</t>
  </si>
  <si>
    <t>林文貌</t>
  </si>
  <si>
    <t>高笋</t>
  </si>
  <si>
    <t>新城应消模块</t>
  </si>
  <si>
    <t>杨允闹</t>
  </si>
  <si>
    <t>朱国庆</t>
  </si>
  <si>
    <t>余建伦</t>
  </si>
  <si>
    <t>陈慧</t>
  </si>
  <si>
    <t>姜春宇</t>
  </si>
  <si>
    <t>蔡豫豪</t>
  </si>
  <si>
    <t>祝江南</t>
  </si>
  <si>
    <t>周新新</t>
  </si>
  <si>
    <t>孙吕杨</t>
  </si>
  <si>
    <t>李甫洋</t>
  </si>
  <si>
    <t>杨安坤</t>
  </si>
  <si>
    <t>黄帮抄</t>
  </si>
  <si>
    <t>林小龙</t>
  </si>
  <si>
    <t>城北应消模块</t>
  </si>
  <si>
    <t>项祖将</t>
  </si>
  <si>
    <t>陈芝文</t>
  </si>
  <si>
    <t>刘超磊</t>
  </si>
  <si>
    <t>徐继浩</t>
  </si>
  <si>
    <t>钟飞全</t>
  </si>
  <si>
    <t>吕淑银</t>
  </si>
  <si>
    <t>梁子</t>
  </si>
  <si>
    <t>赵师泉</t>
  </si>
  <si>
    <t>王孝义</t>
  </si>
  <si>
    <t>杨世翻</t>
  </si>
  <si>
    <t>城西应消模块</t>
  </si>
  <si>
    <t>王让暂</t>
  </si>
  <si>
    <t>蔡启耙</t>
  </si>
  <si>
    <t>杨德克</t>
  </si>
  <si>
    <t>陈宇昕</t>
  </si>
  <si>
    <t>王培源</t>
  </si>
  <si>
    <t>韩江</t>
  </si>
  <si>
    <t>孔祥准</t>
  </si>
  <si>
    <t>蔡振武</t>
  </si>
  <si>
    <t>陈德</t>
  </si>
  <si>
    <t>徐登杰</t>
  </si>
  <si>
    <t>郑绍飞</t>
  </si>
  <si>
    <t>王振重</t>
  </si>
  <si>
    <t>城中应消模块</t>
  </si>
  <si>
    <t>陈培庚</t>
  </si>
  <si>
    <t>薛圣致</t>
  </si>
  <si>
    <t>金通游</t>
  </si>
  <si>
    <t>赵宝</t>
  </si>
  <si>
    <t>刘超</t>
  </si>
  <si>
    <t>闻善能</t>
  </si>
  <si>
    <t>谢志成</t>
  </si>
  <si>
    <t>吴志豹</t>
  </si>
  <si>
    <t>陈明朝</t>
  </si>
  <si>
    <t>林剑</t>
  </si>
  <si>
    <t>陈志飞</t>
  </si>
  <si>
    <t>苏立城</t>
  </si>
  <si>
    <t>杨尚明</t>
  </si>
  <si>
    <t>身份</t>
  </si>
  <si>
    <t>姓名</t>
  </si>
  <si>
    <t>A档指标余留</t>
  </si>
  <si>
    <t>B档指标余留</t>
  </si>
  <si>
    <t>XX模块、XX模块第四季度考核评分档次汇总表</t>
  </si>
  <si>
    <t>序号</t>
  </si>
  <si>
    <t>所在模块</t>
  </si>
  <si>
    <t>评分档次</t>
  </si>
  <si>
    <t>共12人，本次可评定A档人员3人，B档人员5人。
余留A档指标0.8人，B档指标0.2人于下次使用。</t>
  </si>
  <si>
    <t>人数</t>
  </si>
  <si>
    <t>指标</t>
  </si>
  <si>
    <r>
      <rPr>
        <sz val="11"/>
        <color theme="1"/>
        <rFont val="Arial Regular"/>
        <charset val="134"/>
      </rPr>
      <t>A</t>
    </r>
    <r>
      <rPr>
        <sz val="11"/>
        <color theme="1"/>
        <rFont val="宋体"/>
        <charset val="134"/>
      </rPr>
      <t>档人数</t>
    </r>
  </si>
  <si>
    <r>
      <rPr>
        <sz val="11"/>
        <color theme="1"/>
        <rFont val="Arial Regular"/>
        <charset val="134"/>
      </rPr>
      <t>B</t>
    </r>
    <r>
      <rPr>
        <sz val="11"/>
        <color theme="1"/>
        <rFont val="宋体"/>
        <charset val="134"/>
      </rPr>
      <t>档人数</t>
    </r>
  </si>
  <si>
    <t>上次余留指标</t>
  </si>
  <si>
    <t>本次指标</t>
  </si>
  <si>
    <t>本次余留指标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</si>
</sst>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黑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Arial Regular"/>
      <charset val="134"/>
    </font>
    <font>
      <sz val="11"/>
      <color rgb="FF000000"/>
      <name val="Arial Regular"/>
      <charset val="134"/>
    </font>
    <font>
      <sz val="9.75"/>
      <color rgb="FF000000"/>
      <name val="Menlo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0" xfId="0" applyBorder="1">
      <alignment vertical="center"/>
    </xf>
    <xf numFmtId="0" fontId="7" fillId="0" borderId="1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right" vertical="center" wrapText="1"/>
    </xf>
    <xf numFmtId="0" fontId="0" fillId="0" borderId="1" xfId="0" applyBorder="1">
      <alignment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zoomScale="147" zoomScaleNormal="147" workbookViewId="0">
      <selection activeCell="A19" sqref="A19"/>
    </sheetView>
  </sheetViews>
  <sheetFormatPr defaultColWidth="9" defaultRowHeight="16.8" outlineLevelRow="7"/>
  <cols>
    <col min="1" max="1" width="112.875" style="21" customWidth="1"/>
  </cols>
  <sheetData>
    <row r="1" spans="1:1">
      <c r="A1" s="21" t="s">
        <v>0</v>
      </c>
    </row>
    <row r="2" spans="1:1">
      <c r="A2" s="21" t="s">
        <v>1</v>
      </c>
    </row>
    <row r="3" spans="1:1">
      <c r="A3" s="21" t="s">
        <v>2</v>
      </c>
    </row>
    <row r="4" spans="1:1">
      <c r="A4" s="21" t="s">
        <v>3</v>
      </c>
    </row>
    <row r="5" spans="1:1">
      <c r="A5" s="21" t="s">
        <v>4</v>
      </c>
    </row>
    <row r="6" spans="1:1">
      <c r="A6" s="21" t="s">
        <v>5</v>
      </c>
    </row>
    <row r="7" spans="1:1">
      <c r="A7" s="21" t="s">
        <v>6</v>
      </c>
    </row>
    <row r="8" spans="1:1">
      <c r="A8" s="2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tabSelected="1" workbookViewId="0">
      <pane ySplit="1" topLeftCell="A2" activePane="bottomLeft" state="frozen"/>
      <selection/>
      <selection pane="bottomLeft" activeCell="M24" sqref="M24"/>
    </sheetView>
  </sheetViews>
  <sheetFormatPr defaultColWidth="9" defaultRowHeight="16.8" outlineLevelCol="5"/>
  <cols>
    <col min="1" max="4" width="11.625" style="2" customWidth="1"/>
    <col min="5" max="5" width="12.875" style="2" customWidth="1"/>
    <col min="6" max="6" width="9" style="2"/>
  </cols>
  <sheetData>
    <row r="1" spans="1:6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</row>
    <row r="2" spans="1:6">
      <c r="A2" s="8" t="s">
        <v>14</v>
      </c>
      <c r="B2" s="8" t="s">
        <v>15</v>
      </c>
      <c r="C2" s="8"/>
      <c r="D2" s="8" t="s">
        <v>16</v>
      </c>
      <c r="E2" s="8" t="s">
        <v>17</v>
      </c>
      <c r="F2" s="7" t="s">
        <v>15</v>
      </c>
    </row>
    <row r="3" spans="1:6">
      <c r="A3" s="8"/>
      <c r="B3" s="8"/>
      <c r="C3" s="8"/>
      <c r="D3" s="8"/>
      <c r="E3" s="8"/>
      <c r="F3" s="7" t="s">
        <v>16</v>
      </c>
    </row>
    <row r="4" spans="1:6">
      <c r="A4" s="8"/>
      <c r="B4" s="8"/>
      <c r="C4" s="8"/>
      <c r="D4" s="8"/>
      <c r="E4" s="8"/>
      <c r="F4" s="7" t="s">
        <v>18</v>
      </c>
    </row>
    <row r="5" spans="1:6">
      <c r="A5" s="8"/>
      <c r="B5" s="8"/>
      <c r="C5" s="8"/>
      <c r="D5" s="8"/>
      <c r="E5" s="8"/>
      <c r="F5" s="7" t="s">
        <v>19</v>
      </c>
    </row>
    <row r="6" spans="1:6">
      <c r="A6" s="8"/>
      <c r="B6" s="8"/>
      <c r="C6" s="8"/>
      <c r="D6" s="8"/>
      <c r="E6" s="8"/>
      <c r="F6" s="7" t="s">
        <v>20</v>
      </c>
    </row>
    <row r="7" spans="1:6">
      <c r="A7" s="8"/>
      <c r="B7" s="8"/>
      <c r="C7" s="8"/>
      <c r="D7" s="8"/>
      <c r="E7" s="8"/>
      <c r="F7" s="7" t="s">
        <v>21</v>
      </c>
    </row>
    <row r="8" spans="1:6">
      <c r="A8" s="8"/>
      <c r="B8" s="8"/>
      <c r="C8" s="8"/>
      <c r="D8" s="8"/>
      <c r="E8" s="8"/>
      <c r="F8" s="7" t="s">
        <v>22</v>
      </c>
    </row>
    <row r="9" spans="1:6">
      <c r="A9" s="8" t="s">
        <v>14</v>
      </c>
      <c r="B9" s="8" t="s">
        <v>15</v>
      </c>
      <c r="C9" s="8" t="s">
        <v>19</v>
      </c>
      <c r="D9" s="8"/>
      <c r="E9" s="8" t="s">
        <v>23</v>
      </c>
      <c r="F9" s="7" t="s">
        <v>19</v>
      </c>
    </row>
    <row r="10" spans="1:6">
      <c r="A10" s="8"/>
      <c r="B10" s="8"/>
      <c r="C10" s="8"/>
      <c r="D10" s="8"/>
      <c r="E10" s="8"/>
      <c r="F10" s="7" t="s">
        <v>24</v>
      </c>
    </row>
    <row r="11" spans="1:6">
      <c r="A11" s="8" t="s">
        <v>14</v>
      </c>
      <c r="B11" s="8" t="s">
        <v>15</v>
      </c>
      <c r="C11" s="8" t="s">
        <v>18</v>
      </c>
      <c r="D11" s="8"/>
      <c r="E11" s="8" t="s">
        <v>25</v>
      </c>
      <c r="F11" s="7" t="s">
        <v>18</v>
      </c>
    </row>
    <row r="12" spans="1:6">
      <c r="A12" s="8"/>
      <c r="B12" s="8"/>
      <c r="C12" s="8"/>
      <c r="D12" s="8"/>
      <c r="E12" s="8"/>
      <c r="F12" s="7" t="s">
        <v>26</v>
      </c>
    </row>
    <row r="13" spans="1:6">
      <c r="A13" s="8" t="s">
        <v>14</v>
      </c>
      <c r="B13" s="8" t="s">
        <v>27</v>
      </c>
      <c r="C13" s="8"/>
      <c r="D13" s="8" t="s">
        <v>28</v>
      </c>
      <c r="E13" s="8" t="s">
        <v>29</v>
      </c>
      <c r="F13" s="7" t="s">
        <v>27</v>
      </c>
    </row>
    <row r="14" spans="1:6">
      <c r="A14" s="8"/>
      <c r="B14" s="8"/>
      <c r="C14" s="8"/>
      <c r="D14" s="8"/>
      <c r="E14" s="8"/>
      <c r="F14" s="7" t="s">
        <v>28</v>
      </c>
    </row>
    <row r="15" spans="1:6">
      <c r="A15" s="8"/>
      <c r="B15" s="8"/>
      <c r="C15" s="8"/>
      <c r="D15" s="8"/>
      <c r="E15" s="8"/>
      <c r="F15" s="7" t="s">
        <v>26</v>
      </c>
    </row>
    <row r="16" spans="1:6">
      <c r="A16" s="8"/>
      <c r="B16" s="8"/>
      <c r="C16" s="8"/>
      <c r="D16" s="8"/>
      <c r="E16" s="8"/>
      <c r="F16" s="7" t="s">
        <v>30</v>
      </c>
    </row>
    <row r="17" spans="1:6">
      <c r="A17" s="8" t="s">
        <v>14</v>
      </c>
      <c r="B17" s="8" t="s">
        <v>27</v>
      </c>
      <c r="C17" s="8"/>
      <c r="D17" s="8" t="s">
        <v>31</v>
      </c>
      <c r="E17" s="8" t="s">
        <v>32</v>
      </c>
      <c r="F17" s="7" t="s">
        <v>27</v>
      </c>
    </row>
    <row r="18" spans="1:6">
      <c r="A18" s="8"/>
      <c r="B18" s="8"/>
      <c r="C18" s="8"/>
      <c r="D18" s="8"/>
      <c r="E18" s="8"/>
      <c r="F18" s="7" t="s">
        <v>31</v>
      </c>
    </row>
    <row r="19" spans="1:6">
      <c r="A19" s="8"/>
      <c r="B19" s="8"/>
      <c r="C19" s="8"/>
      <c r="D19" s="8"/>
      <c r="E19" s="8"/>
      <c r="F19" s="7" t="s">
        <v>33</v>
      </c>
    </row>
    <row r="20" spans="1:6">
      <c r="A20" s="8"/>
      <c r="B20" s="8"/>
      <c r="C20" s="8"/>
      <c r="D20" s="8"/>
      <c r="E20" s="8"/>
      <c r="F20" s="7" t="s">
        <v>34</v>
      </c>
    </row>
    <row r="21" spans="1:6">
      <c r="A21" s="8" t="s">
        <v>35</v>
      </c>
      <c r="B21" s="8"/>
      <c r="C21" s="8"/>
      <c r="D21" s="8"/>
      <c r="E21" s="8" t="s">
        <v>36</v>
      </c>
      <c r="F21" s="7" t="s">
        <v>37</v>
      </c>
    </row>
    <row r="22" spans="1:6">
      <c r="A22" s="8"/>
      <c r="B22" s="8"/>
      <c r="C22" s="8"/>
      <c r="D22" s="8"/>
      <c r="E22" s="8"/>
      <c r="F22" s="7" t="s">
        <v>38</v>
      </c>
    </row>
    <row r="23" spans="1:6">
      <c r="A23" s="8"/>
      <c r="B23" s="8"/>
      <c r="C23" s="8"/>
      <c r="D23" s="8"/>
      <c r="E23" s="8"/>
      <c r="F23" s="7" t="s">
        <v>39</v>
      </c>
    </row>
    <row r="24" spans="1:6">
      <c r="A24" s="8"/>
      <c r="B24" s="8"/>
      <c r="C24" s="8"/>
      <c r="D24" s="8"/>
      <c r="E24" s="8"/>
      <c r="F24" s="7" t="s">
        <v>40</v>
      </c>
    </row>
    <row r="25" spans="1:6">
      <c r="A25" s="8"/>
      <c r="B25" s="8"/>
      <c r="C25" s="8"/>
      <c r="D25" s="8"/>
      <c r="E25" s="8"/>
      <c r="F25" s="7" t="s">
        <v>41</v>
      </c>
    </row>
    <row r="26" spans="1:6">
      <c r="A26" s="8"/>
      <c r="B26" s="8"/>
      <c r="C26" s="8"/>
      <c r="D26" s="8"/>
      <c r="E26" s="8"/>
      <c r="F26" s="7" t="s">
        <v>42</v>
      </c>
    </row>
    <row r="27" spans="1:6">
      <c r="A27" s="8" t="s">
        <v>43</v>
      </c>
      <c r="B27" s="8"/>
      <c r="C27" s="8" t="s">
        <v>44</v>
      </c>
      <c r="D27" s="8"/>
      <c r="E27" s="8" t="s">
        <v>45</v>
      </c>
      <c r="F27" s="7" t="s">
        <v>44</v>
      </c>
    </row>
    <row r="28" spans="1:6">
      <c r="A28" s="8"/>
      <c r="B28" s="8"/>
      <c r="C28" s="8"/>
      <c r="D28" s="8"/>
      <c r="E28" s="8"/>
      <c r="F28" s="7" t="s">
        <v>31</v>
      </c>
    </row>
    <row r="29" spans="1:6">
      <c r="A29" s="8"/>
      <c r="B29" s="8"/>
      <c r="C29" s="8"/>
      <c r="D29" s="8"/>
      <c r="E29" s="8"/>
      <c r="F29" s="7" t="s">
        <v>46</v>
      </c>
    </row>
    <row r="30" spans="1:6">
      <c r="A30" s="8"/>
      <c r="B30" s="8"/>
      <c r="C30" s="8"/>
      <c r="D30" s="8"/>
      <c r="E30" s="8"/>
      <c r="F30" s="7" t="s">
        <v>47</v>
      </c>
    </row>
    <row r="31" spans="1:6">
      <c r="A31" s="8"/>
      <c r="B31" s="8"/>
      <c r="C31" s="8"/>
      <c r="D31" s="8"/>
      <c r="E31" s="8"/>
      <c r="F31" s="7" t="s">
        <v>48</v>
      </c>
    </row>
    <row r="32" spans="1:6">
      <c r="A32" s="8" t="s">
        <v>49</v>
      </c>
      <c r="B32" s="8" t="s">
        <v>27</v>
      </c>
      <c r="C32" s="8" t="s">
        <v>27</v>
      </c>
      <c r="D32" s="8"/>
      <c r="E32" s="8" t="s">
        <v>50</v>
      </c>
      <c r="F32" s="7" t="s">
        <v>27</v>
      </c>
    </row>
    <row r="33" spans="1:6">
      <c r="A33" s="8"/>
      <c r="B33" s="8"/>
      <c r="C33" s="8"/>
      <c r="D33" s="8"/>
      <c r="E33" s="8"/>
      <c r="F33" s="7" t="s">
        <v>51</v>
      </c>
    </row>
    <row r="34" spans="1:6">
      <c r="A34" s="8"/>
      <c r="B34" s="8"/>
      <c r="C34" s="8"/>
      <c r="D34" s="8"/>
      <c r="E34" s="8"/>
      <c r="F34" s="7" t="s">
        <v>52</v>
      </c>
    </row>
    <row r="35" spans="1:6">
      <c r="A35" s="8" t="s">
        <v>49</v>
      </c>
      <c r="B35" s="8" t="s">
        <v>53</v>
      </c>
      <c r="C35" s="8" t="s">
        <v>53</v>
      </c>
      <c r="D35" s="8"/>
      <c r="E35" s="8" t="s">
        <v>54</v>
      </c>
      <c r="F35" s="7" t="s">
        <v>53</v>
      </c>
    </row>
    <row r="36" spans="1:6">
      <c r="A36" s="8"/>
      <c r="B36" s="8"/>
      <c r="C36" s="8"/>
      <c r="D36" s="8"/>
      <c r="E36" s="8"/>
      <c r="F36" s="7" t="s">
        <v>55</v>
      </c>
    </row>
    <row r="37" spans="1:6">
      <c r="A37" s="8"/>
      <c r="B37" s="8"/>
      <c r="C37" s="8"/>
      <c r="D37" s="8"/>
      <c r="E37" s="8"/>
      <c r="F37" s="7" t="s">
        <v>56</v>
      </c>
    </row>
    <row r="38" spans="1:6">
      <c r="A38" s="8" t="s">
        <v>57</v>
      </c>
      <c r="B38" s="8"/>
      <c r="C38" s="8" t="s">
        <v>58</v>
      </c>
      <c r="D38" s="8"/>
      <c r="E38" s="8" t="s">
        <v>59</v>
      </c>
      <c r="F38" s="6" t="s">
        <v>58</v>
      </c>
    </row>
    <row r="39" spans="1:6">
      <c r="A39" s="8"/>
      <c r="B39" s="8"/>
      <c r="C39" s="8"/>
      <c r="D39" s="8"/>
      <c r="E39" s="8"/>
      <c r="F39" s="7" t="s">
        <v>60</v>
      </c>
    </row>
    <row r="40" spans="1:6">
      <c r="A40" s="8" t="s">
        <v>57</v>
      </c>
      <c r="B40" s="8" t="s">
        <v>61</v>
      </c>
      <c r="C40" s="8" t="s">
        <v>61</v>
      </c>
      <c r="D40" s="8"/>
      <c r="E40" s="8" t="s">
        <v>62</v>
      </c>
      <c r="F40" s="7" t="s">
        <v>61</v>
      </c>
    </row>
    <row r="41" spans="1:6">
      <c r="A41" s="8"/>
      <c r="B41" s="8"/>
      <c r="C41" s="8"/>
      <c r="D41" s="8"/>
      <c r="E41" s="8"/>
      <c r="F41" s="7" t="s">
        <v>24</v>
      </c>
    </row>
    <row r="42" spans="1:6">
      <c r="A42" s="8"/>
      <c r="B42" s="8"/>
      <c r="C42" s="8"/>
      <c r="D42" s="8"/>
      <c r="E42" s="8"/>
      <c r="F42" s="7" t="s">
        <v>63</v>
      </c>
    </row>
    <row r="43" spans="1:6">
      <c r="A43" s="8" t="s">
        <v>57</v>
      </c>
      <c r="B43" s="8" t="s">
        <v>61</v>
      </c>
      <c r="C43" s="8" t="s">
        <v>64</v>
      </c>
      <c r="D43" s="8"/>
      <c r="E43" s="8" t="s">
        <v>65</v>
      </c>
      <c r="F43" s="7" t="s">
        <v>64</v>
      </c>
    </row>
    <row r="44" spans="1:6">
      <c r="A44" s="8"/>
      <c r="B44" s="8"/>
      <c r="C44" s="8"/>
      <c r="D44" s="8"/>
      <c r="E44" s="8"/>
      <c r="F44" s="7" t="s">
        <v>66</v>
      </c>
    </row>
    <row r="45" spans="1:6">
      <c r="A45" s="8" t="s">
        <v>67</v>
      </c>
      <c r="B45" s="8"/>
      <c r="C45" s="8"/>
      <c r="D45" s="8"/>
      <c r="E45" s="8" t="s">
        <v>68</v>
      </c>
      <c r="F45" s="7" t="s">
        <v>69</v>
      </c>
    </row>
    <row r="46" spans="1:6">
      <c r="A46" s="8"/>
      <c r="B46" s="8"/>
      <c r="C46" s="8"/>
      <c r="D46" s="8"/>
      <c r="E46" s="8"/>
      <c r="F46" s="7" t="s">
        <v>39</v>
      </c>
    </row>
    <row r="47" spans="1:6">
      <c r="A47" s="8"/>
      <c r="B47" s="8"/>
      <c r="C47" s="8"/>
      <c r="D47" s="8"/>
      <c r="E47" s="8"/>
      <c r="F47" s="7" t="s">
        <v>70</v>
      </c>
    </row>
    <row r="48" spans="1:6">
      <c r="A48" s="8"/>
      <c r="B48" s="8"/>
      <c r="C48" s="8"/>
      <c r="D48" s="8"/>
      <c r="E48" s="8"/>
      <c r="F48" s="7" t="s">
        <v>71</v>
      </c>
    </row>
    <row r="49" spans="1:6">
      <c r="A49" s="8"/>
      <c r="B49" s="8"/>
      <c r="C49" s="8"/>
      <c r="D49" s="8"/>
      <c r="E49" s="8"/>
      <c r="F49" s="20" t="s">
        <v>72</v>
      </c>
    </row>
    <row r="50" spans="1:6">
      <c r="A50" s="8"/>
      <c r="B50" s="8"/>
      <c r="C50" s="8"/>
      <c r="D50" s="8"/>
      <c r="E50" s="8"/>
      <c r="F50" s="7" t="s">
        <v>73</v>
      </c>
    </row>
    <row r="51" spans="1:6">
      <c r="A51" s="8"/>
      <c r="B51" s="8"/>
      <c r="C51" s="8"/>
      <c r="D51" s="8"/>
      <c r="E51" s="8"/>
      <c r="F51" s="7" t="s">
        <v>74</v>
      </c>
    </row>
    <row r="52" spans="1:6">
      <c r="A52" s="8"/>
      <c r="B52" s="8"/>
      <c r="C52" s="8"/>
      <c r="D52" s="8"/>
      <c r="E52" s="8"/>
      <c r="F52" s="7" t="s">
        <v>75</v>
      </c>
    </row>
    <row r="53" spans="1:6">
      <c r="A53" s="8"/>
      <c r="B53" s="8"/>
      <c r="C53" s="8"/>
      <c r="D53" s="8"/>
      <c r="E53" s="8"/>
      <c r="F53" s="7" t="s">
        <v>76</v>
      </c>
    </row>
    <row r="54" spans="1:6">
      <c r="A54" s="8"/>
      <c r="B54" s="8"/>
      <c r="C54" s="8"/>
      <c r="D54" s="8"/>
      <c r="E54" s="8"/>
      <c r="F54" s="7" t="s">
        <v>77</v>
      </c>
    </row>
    <row r="55" spans="1:6">
      <c r="A55" s="8"/>
      <c r="B55" s="8"/>
      <c r="C55" s="8"/>
      <c r="D55" s="8"/>
      <c r="E55" s="8"/>
      <c r="F55" s="7" t="s">
        <v>78</v>
      </c>
    </row>
    <row r="56" spans="1:6">
      <c r="A56" s="8"/>
      <c r="B56" s="8"/>
      <c r="C56" s="8"/>
      <c r="D56" s="8"/>
      <c r="E56" s="8"/>
      <c r="F56" s="7" t="s">
        <v>79</v>
      </c>
    </row>
    <row r="57" spans="1:6">
      <c r="A57" s="8"/>
      <c r="B57" s="8"/>
      <c r="C57" s="8"/>
      <c r="D57" s="8"/>
      <c r="E57" s="8"/>
      <c r="F57" s="7" t="s">
        <v>80</v>
      </c>
    </row>
    <row r="58" spans="1:6">
      <c r="A58" s="8" t="s">
        <v>43</v>
      </c>
      <c r="B58" s="8"/>
      <c r="C58" s="8" t="s">
        <v>81</v>
      </c>
      <c r="D58" s="8"/>
      <c r="E58" s="8" t="s">
        <v>82</v>
      </c>
      <c r="F58" s="7" t="s">
        <v>81</v>
      </c>
    </row>
    <row r="59" spans="1:6">
      <c r="A59" s="8"/>
      <c r="B59" s="8"/>
      <c r="C59" s="8"/>
      <c r="D59" s="8"/>
      <c r="E59" s="8"/>
      <c r="F59" s="7" t="s">
        <v>83</v>
      </c>
    </row>
    <row r="60" spans="1:6">
      <c r="A60" s="8"/>
      <c r="B60" s="8"/>
      <c r="C60" s="8"/>
      <c r="D60" s="8"/>
      <c r="E60" s="8"/>
      <c r="F60" s="7" t="s">
        <v>48</v>
      </c>
    </row>
    <row r="61" spans="1:6">
      <c r="A61" s="8"/>
      <c r="B61" s="8"/>
      <c r="C61" s="8"/>
      <c r="D61" s="8"/>
      <c r="E61" s="8"/>
      <c r="F61" s="20" t="s">
        <v>84</v>
      </c>
    </row>
    <row r="62" spans="1:6">
      <c r="A62" s="8"/>
      <c r="B62" s="8"/>
      <c r="C62" s="8"/>
      <c r="D62" s="8"/>
      <c r="E62" s="8"/>
      <c r="F62" s="7" t="s">
        <v>85</v>
      </c>
    </row>
    <row r="63" spans="1:6">
      <c r="A63" s="8"/>
      <c r="B63" s="8"/>
      <c r="C63" s="8"/>
      <c r="D63" s="8"/>
      <c r="E63" s="8"/>
      <c r="F63" s="7" t="s">
        <v>86</v>
      </c>
    </row>
    <row r="64" spans="1:6">
      <c r="A64" s="8"/>
      <c r="B64" s="8"/>
      <c r="C64" s="8"/>
      <c r="D64" s="8"/>
      <c r="E64" s="8"/>
      <c r="F64" s="7" t="s">
        <v>87</v>
      </c>
    </row>
    <row r="65" spans="1:6">
      <c r="A65" s="8"/>
      <c r="B65" s="8"/>
      <c r="C65" s="8"/>
      <c r="D65" s="8"/>
      <c r="E65" s="8"/>
      <c r="F65" s="7" t="s">
        <v>88</v>
      </c>
    </row>
    <row r="66" spans="1:6">
      <c r="A66" s="8"/>
      <c r="B66" s="8"/>
      <c r="C66" s="8"/>
      <c r="D66" s="8"/>
      <c r="E66" s="8"/>
      <c r="F66" s="7" t="s">
        <v>89</v>
      </c>
    </row>
    <row r="67" spans="1:6">
      <c r="A67" s="8"/>
      <c r="B67" s="8"/>
      <c r="C67" s="8"/>
      <c r="D67" s="8"/>
      <c r="E67" s="8"/>
      <c r="F67" s="7" t="s">
        <v>90</v>
      </c>
    </row>
    <row r="68" spans="1:6">
      <c r="A68" s="8"/>
      <c r="B68" s="8"/>
      <c r="C68" s="8"/>
      <c r="D68" s="8"/>
      <c r="E68" s="8"/>
      <c r="F68" s="7" t="s">
        <v>91</v>
      </c>
    </row>
    <row r="69" spans="1:6">
      <c r="A69" s="8" t="s">
        <v>49</v>
      </c>
      <c r="B69" s="8"/>
      <c r="C69" s="8" t="s">
        <v>92</v>
      </c>
      <c r="D69" s="8"/>
      <c r="E69" s="8" t="s">
        <v>93</v>
      </c>
      <c r="F69" s="7" t="s">
        <v>92</v>
      </c>
    </row>
    <row r="70" spans="1:6">
      <c r="A70" s="8"/>
      <c r="B70" s="8"/>
      <c r="C70" s="8"/>
      <c r="D70" s="8"/>
      <c r="E70" s="8"/>
      <c r="F70" s="7" t="s">
        <v>94</v>
      </c>
    </row>
    <row r="71" spans="1:6">
      <c r="A71" s="8"/>
      <c r="B71" s="8"/>
      <c r="C71" s="8"/>
      <c r="D71" s="8"/>
      <c r="E71" s="8"/>
      <c r="F71" s="7" t="s">
        <v>95</v>
      </c>
    </row>
    <row r="72" spans="1:6">
      <c r="A72" s="8"/>
      <c r="B72" s="8"/>
      <c r="C72" s="8"/>
      <c r="D72" s="8"/>
      <c r="E72" s="8"/>
      <c r="F72" s="20" t="s">
        <v>96</v>
      </c>
    </row>
    <row r="73" spans="1:6">
      <c r="A73" s="8"/>
      <c r="B73" s="8"/>
      <c r="C73" s="8"/>
      <c r="D73" s="8"/>
      <c r="E73" s="8"/>
      <c r="F73" s="7" t="s">
        <v>97</v>
      </c>
    </row>
    <row r="74" spans="1:6">
      <c r="A74" s="8"/>
      <c r="B74" s="8"/>
      <c r="C74" s="8"/>
      <c r="D74" s="8"/>
      <c r="E74" s="8"/>
      <c r="F74" s="7" t="s">
        <v>98</v>
      </c>
    </row>
    <row r="75" spans="1:6">
      <c r="A75" s="8"/>
      <c r="B75" s="8"/>
      <c r="C75" s="8"/>
      <c r="D75" s="8"/>
      <c r="E75" s="8"/>
      <c r="F75" s="7" t="s">
        <v>99</v>
      </c>
    </row>
    <row r="76" spans="1:6">
      <c r="A76" s="8"/>
      <c r="B76" s="8"/>
      <c r="C76" s="8"/>
      <c r="D76" s="8"/>
      <c r="E76" s="8"/>
      <c r="F76" s="7" t="s">
        <v>100</v>
      </c>
    </row>
    <row r="77" spans="1:6">
      <c r="A77" s="8"/>
      <c r="B77" s="8"/>
      <c r="C77" s="8"/>
      <c r="D77" s="8"/>
      <c r="E77" s="8"/>
      <c r="F77" s="7" t="s">
        <v>101</v>
      </c>
    </row>
    <row r="78" spans="1:6">
      <c r="A78" s="8"/>
      <c r="B78" s="8"/>
      <c r="C78" s="8"/>
      <c r="D78" s="8"/>
      <c r="E78" s="8"/>
      <c r="F78" s="7" t="s">
        <v>102</v>
      </c>
    </row>
    <row r="79" spans="1:6">
      <c r="A79" s="8"/>
      <c r="B79" s="8"/>
      <c r="C79" s="8"/>
      <c r="D79" s="8"/>
      <c r="E79" s="8"/>
      <c r="F79" s="7" t="s">
        <v>103</v>
      </c>
    </row>
    <row r="80" spans="1:6">
      <c r="A80" s="8"/>
      <c r="B80" s="8"/>
      <c r="C80" s="8"/>
      <c r="D80" s="8"/>
      <c r="E80" s="8"/>
      <c r="F80" s="7" t="s">
        <v>104</v>
      </c>
    </row>
    <row r="81" spans="1:6">
      <c r="A81" s="8" t="s">
        <v>105</v>
      </c>
      <c r="B81" s="8"/>
      <c r="C81" s="8"/>
      <c r="D81" s="8"/>
      <c r="E81" s="8" t="s">
        <v>106</v>
      </c>
      <c r="F81" s="6" t="s">
        <v>58</v>
      </c>
    </row>
    <row r="82" spans="1:6">
      <c r="A82" s="8"/>
      <c r="B82" s="8"/>
      <c r="C82" s="8"/>
      <c r="D82" s="8"/>
      <c r="E82" s="8"/>
      <c r="F82" s="7" t="s">
        <v>107</v>
      </c>
    </row>
    <row r="83" spans="1:6">
      <c r="A83" s="8"/>
      <c r="B83" s="8"/>
      <c r="C83" s="8"/>
      <c r="D83" s="8"/>
      <c r="E83" s="8"/>
      <c r="F83" s="7" t="s">
        <v>108</v>
      </c>
    </row>
    <row r="84" spans="1:6">
      <c r="A84" s="8"/>
      <c r="B84" s="8"/>
      <c r="C84" s="8"/>
      <c r="D84" s="8"/>
      <c r="E84" s="8"/>
      <c r="F84" s="7" t="s">
        <v>109</v>
      </c>
    </row>
    <row r="85" spans="1:6">
      <c r="A85" s="8"/>
      <c r="B85" s="8"/>
      <c r="C85" s="8"/>
      <c r="D85" s="8"/>
      <c r="E85" s="8"/>
      <c r="F85" s="7" t="s">
        <v>110</v>
      </c>
    </row>
    <row r="86" spans="1:6">
      <c r="A86" s="8"/>
      <c r="B86" s="8"/>
      <c r="C86" s="8"/>
      <c r="D86" s="8"/>
      <c r="E86" s="8"/>
      <c r="F86" s="7" t="s">
        <v>111</v>
      </c>
    </row>
    <row r="87" spans="1:6">
      <c r="A87" s="8"/>
      <c r="B87" s="8"/>
      <c r="C87" s="8"/>
      <c r="D87" s="8"/>
      <c r="E87" s="8"/>
      <c r="F87" s="7" t="s">
        <v>112</v>
      </c>
    </row>
    <row r="88" spans="1:6">
      <c r="A88" s="8"/>
      <c r="B88" s="8"/>
      <c r="C88" s="8"/>
      <c r="D88" s="8"/>
      <c r="E88" s="8"/>
      <c r="F88" s="7" t="s">
        <v>113</v>
      </c>
    </row>
    <row r="89" spans="1:6">
      <c r="A89" s="8"/>
      <c r="B89" s="8"/>
      <c r="C89" s="8"/>
      <c r="D89" s="8"/>
      <c r="E89" s="8"/>
      <c r="F89" s="7" t="s">
        <v>114</v>
      </c>
    </row>
    <row r="90" spans="1:6">
      <c r="A90" s="8"/>
      <c r="B90" s="8"/>
      <c r="C90" s="8"/>
      <c r="D90" s="8"/>
      <c r="E90" s="8"/>
      <c r="F90" s="7" t="s">
        <v>115</v>
      </c>
    </row>
    <row r="91" spans="1:6">
      <c r="A91" s="8"/>
      <c r="B91" s="8"/>
      <c r="C91" s="8"/>
      <c r="D91" s="8"/>
      <c r="E91" s="8"/>
      <c r="F91" s="7" t="s">
        <v>116</v>
      </c>
    </row>
    <row r="92" spans="1:6">
      <c r="A92" s="8"/>
      <c r="B92" s="8"/>
      <c r="C92" s="8"/>
      <c r="D92" s="8"/>
      <c r="E92" s="8"/>
      <c r="F92" s="7" t="s">
        <v>117</v>
      </c>
    </row>
    <row r="93" spans="1:6">
      <c r="A93" s="8"/>
      <c r="B93" s="8"/>
      <c r="C93" s="8"/>
      <c r="D93" s="8"/>
      <c r="E93" s="8"/>
      <c r="F93" s="7" t="s">
        <v>118</v>
      </c>
    </row>
    <row r="94" spans="1:6">
      <c r="A94" s="8"/>
      <c r="B94" s="8"/>
      <c r="C94" s="8"/>
      <c r="D94" s="8"/>
      <c r="E94" s="8"/>
      <c r="F94" s="7" t="s">
        <v>119</v>
      </c>
    </row>
  </sheetData>
  <mergeCells count="80">
    <mergeCell ref="A2:A8"/>
    <mergeCell ref="A9:A10"/>
    <mergeCell ref="A11:A12"/>
    <mergeCell ref="A13:A16"/>
    <mergeCell ref="A17:A20"/>
    <mergeCell ref="A21:A26"/>
    <mergeCell ref="A27:A31"/>
    <mergeCell ref="A32:A34"/>
    <mergeCell ref="A35:A37"/>
    <mergeCell ref="A38:A39"/>
    <mergeCell ref="A40:A42"/>
    <mergeCell ref="A43:A44"/>
    <mergeCell ref="A45:A57"/>
    <mergeCell ref="A58:A68"/>
    <mergeCell ref="A69:A80"/>
    <mergeCell ref="A81:A94"/>
    <mergeCell ref="B2:B8"/>
    <mergeCell ref="B9:B10"/>
    <mergeCell ref="B11:B12"/>
    <mergeCell ref="B13:B16"/>
    <mergeCell ref="B17:B20"/>
    <mergeCell ref="B21:B26"/>
    <mergeCell ref="B27:B31"/>
    <mergeCell ref="B32:B34"/>
    <mergeCell ref="B35:B37"/>
    <mergeCell ref="B38:B39"/>
    <mergeCell ref="B40:B42"/>
    <mergeCell ref="B43:B44"/>
    <mergeCell ref="B45:B57"/>
    <mergeCell ref="B58:B68"/>
    <mergeCell ref="B69:B80"/>
    <mergeCell ref="B81:B94"/>
    <mergeCell ref="C2:C8"/>
    <mergeCell ref="C9:C10"/>
    <mergeCell ref="C11:C12"/>
    <mergeCell ref="C13:C16"/>
    <mergeCell ref="C17:C20"/>
    <mergeCell ref="C21:C26"/>
    <mergeCell ref="C27:C31"/>
    <mergeCell ref="C32:C34"/>
    <mergeCell ref="C35:C37"/>
    <mergeCell ref="C38:C39"/>
    <mergeCell ref="C40:C42"/>
    <mergeCell ref="C43:C44"/>
    <mergeCell ref="C45:C57"/>
    <mergeCell ref="C58:C68"/>
    <mergeCell ref="C69:C80"/>
    <mergeCell ref="C81:C94"/>
    <mergeCell ref="D2:D8"/>
    <mergeCell ref="D9:D10"/>
    <mergeCell ref="D11:D12"/>
    <mergeCell ref="D13:D16"/>
    <mergeCell ref="D17:D20"/>
    <mergeCell ref="D21:D26"/>
    <mergeCell ref="D27:D31"/>
    <mergeCell ref="D32:D34"/>
    <mergeCell ref="D35:D37"/>
    <mergeCell ref="D38:D39"/>
    <mergeCell ref="D40:D42"/>
    <mergeCell ref="D43:D44"/>
    <mergeCell ref="D45:D57"/>
    <mergeCell ref="D58:D68"/>
    <mergeCell ref="D69:D80"/>
    <mergeCell ref="D81:D94"/>
    <mergeCell ref="E2:E8"/>
    <mergeCell ref="E9:E10"/>
    <mergeCell ref="E11:E12"/>
    <mergeCell ref="E13:E16"/>
    <mergeCell ref="E17:E20"/>
    <mergeCell ref="E21:E26"/>
    <mergeCell ref="E27:E31"/>
    <mergeCell ref="E32:E34"/>
    <mergeCell ref="E35:E37"/>
    <mergeCell ref="E38:E39"/>
    <mergeCell ref="E40:E42"/>
    <mergeCell ref="E43:E44"/>
    <mergeCell ref="E45:E57"/>
    <mergeCell ref="E58:E68"/>
    <mergeCell ref="E69:E80"/>
    <mergeCell ref="E81:E94"/>
  </mergeCells>
  <conditionalFormatting sqref="D2">
    <cfRule type="duplicateValues" dxfId="0" priority="47"/>
  </conditionalFormatting>
  <conditionalFormatting sqref="F8">
    <cfRule type="duplicateValues" dxfId="0" priority="44"/>
  </conditionalFormatting>
  <conditionalFormatting sqref="F9">
    <cfRule type="duplicateValues" dxfId="0" priority="36"/>
  </conditionalFormatting>
  <conditionalFormatting sqref="F10">
    <cfRule type="duplicateValues" dxfId="0" priority="35"/>
  </conditionalFormatting>
  <conditionalFormatting sqref="F11">
    <cfRule type="duplicateValues" dxfId="0" priority="33"/>
  </conditionalFormatting>
  <conditionalFormatting sqref="F12">
    <cfRule type="duplicateValues" dxfId="0" priority="32"/>
  </conditionalFormatting>
  <conditionalFormatting sqref="F13">
    <cfRule type="duplicateValues" dxfId="0" priority="30"/>
  </conditionalFormatting>
  <conditionalFormatting sqref="F18">
    <cfRule type="duplicateValues" dxfId="0" priority="28"/>
  </conditionalFormatting>
  <conditionalFormatting sqref="F19">
    <cfRule type="duplicateValues" dxfId="0" priority="15"/>
  </conditionalFormatting>
  <conditionalFormatting sqref="F22">
    <cfRule type="duplicateValues" dxfId="0" priority="25"/>
  </conditionalFormatting>
  <conditionalFormatting sqref="F23">
    <cfRule type="duplicateValues" dxfId="0" priority="24"/>
  </conditionalFormatting>
  <conditionalFormatting sqref="F24">
    <cfRule type="duplicateValues" dxfId="0" priority="23"/>
  </conditionalFormatting>
  <conditionalFormatting sqref="F25">
    <cfRule type="duplicateValues" dxfId="0" priority="22"/>
  </conditionalFormatting>
  <conditionalFormatting sqref="F26">
    <cfRule type="duplicateValues" dxfId="0" priority="21"/>
  </conditionalFormatting>
  <conditionalFormatting sqref="F27">
    <cfRule type="duplicateValues" dxfId="0" priority="37"/>
  </conditionalFormatting>
  <conditionalFormatting sqref="F31">
    <cfRule type="duplicateValues" dxfId="0" priority="18"/>
  </conditionalFormatting>
  <conditionalFormatting sqref="F32">
    <cfRule type="duplicateValues" dxfId="0" priority="27"/>
  </conditionalFormatting>
  <conditionalFormatting sqref="F41">
    <cfRule type="duplicateValues" dxfId="0" priority="9"/>
  </conditionalFormatting>
  <conditionalFormatting sqref="F42">
    <cfRule type="duplicateValues" dxfId="0" priority="10"/>
  </conditionalFormatting>
  <conditionalFormatting sqref="F53">
    <cfRule type="duplicateValues" dxfId="0" priority="12"/>
  </conditionalFormatting>
  <conditionalFormatting sqref="F59">
    <cfRule type="duplicateValues" dxfId="0" priority="19"/>
  </conditionalFormatting>
  <conditionalFormatting sqref="F67">
    <cfRule type="duplicateValues" dxfId="0" priority="39"/>
  </conditionalFormatting>
  <conditionalFormatting sqref="F75">
    <cfRule type="duplicateValues" dxfId="0" priority="41"/>
  </conditionalFormatting>
  <conditionalFormatting sqref="F78">
    <cfRule type="duplicateValues" dxfId="0" priority="38"/>
  </conditionalFormatting>
  <conditionalFormatting sqref="F81">
    <cfRule type="duplicateValues" dxfId="0" priority="5"/>
  </conditionalFormatting>
  <conditionalFormatting sqref="F82">
    <cfRule type="duplicateValues" dxfId="0" priority="6"/>
  </conditionalFormatting>
  <conditionalFormatting sqref="F89">
    <cfRule type="duplicateValues" dxfId="0" priority="7"/>
  </conditionalFormatting>
  <conditionalFormatting sqref="F2:F7">
    <cfRule type="duplicateValues" dxfId="0" priority="45"/>
  </conditionalFormatting>
  <conditionalFormatting sqref="F33:F37">
    <cfRule type="duplicateValues" dxfId="0" priority="29"/>
  </conditionalFormatting>
  <conditionalFormatting sqref="F63:F64">
    <cfRule type="duplicateValues" dxfId="0" priority="40"/>
  </conditionalFormatting>
  <conditionalFormatting sqref="F87:F88">
    <cfRule type="duplicateValues" dxfId="0" priority="42"/>
  </conditionalFormatting>
  <conditionalFormatting sqref="F83:F86 F90:F94 F79:F80 F76:F77 F68:F74 F60:F62 F65:F66 F54:F58 F43:F52 F38:F40 F28:F30 F20:F21 F14:F17">
    <cfRule type="duplicateValues" dxfId="0" priority="43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46" zoomScaleNormal="146" workbookViewId="0">
      <pane ySplit="1" topLeftCell="A2" activePane="bottomLeft" state="frozen"/>
      <selection/>
      <selection pane="bottomLeft" activeCell="E13" sqref="E13"/>
    </sheetView>
  </sheetViews>
  <sheetFormatPr defaultColWidth="9" defaultRowHeight="16.8" outlineLevelCol="3"/>
  <cols>
    <col min="2" max="2" width="7.57142857142857" customWidth="1"/>
    <col min="3" max="4" width="12.8571428571429" customWidth="1"/>
  </cols>
  <sheetData>
    <row r="1" spans="1:4">
      <c r="A1" s="19" t="s">
        <v>120</v>
      </c>
      <c r="B1" s="19" t="s">
        <v>121</v>
      </c>
      <c r="C1" s="19" t="s">
        <v>122</v>
      </c>
      <c r="D1" s="19" t="s">
        <v>123</v>
      </c>
    </row>
    <row r="2" spans="1:4">
      <c r="A2" s="19" t="s">
        <v>8</v>
      </c>
      <c r="B2" s="19" t="s">
        <v>14</v>
      </c>
      <c r="C2" s="19">
        <v>0.1</v>
      </c>
      <c r="D2" s="19">
        <v>0.2</v>
      </c>
    </row>
    <row r="3" spans="1:4">
      <c r="A3" s="19" t="s">
        <v>8</v>
      </c>
      <c r="B3" s="19" t="s">
        <v>57</v>
      </c>
      <c r="C3" s="19">
        <v>0.1</v>
      </c>
      <c r="D3" s="19">
        <v>0.2</v>
      </c>
    </row>
    <row r="4" spans="1:4">
      <c r="A4" s="19" t="s">
        <v>8</v>
      </c>
      <c r="B4" s="19" t="s">
        <v>105</v>
      </c>
      <c r="C4" s="19">
        <v>0.1</v>
      </c>
      <c r="D4" s="19">
        <v>0.2</v>
      </c>
    </row>
    <row r="5" spans="1:4">
      <c r="A5" s="19" t="s">
        <v>8</v>
      </c>
      <c r="B5" s="19" t="s">
        <v>49</v>
      </c>
      <c r="C5" s="19">
        <v>0.1</v>
      </c>
      <c r="D5" s="19">
        <v>0.2</v>
      </c>
    </row>
    <row r="6" spans="1:4">
      <c r="A6" s="19" t="s">
        <v>8</v>
      </c>
      <c r="B6" s="19" t="s">
        <v>35</v>
      </c>
      <c r="C6" s="19">
        <v>0.1</v>
      </c>
      <c r="D6" s="19">
        <v>0.2</v>
      </c>
    </row>
    <row r="7" spans="1:4">
      <c r="A7" s="19" t="s">
        <v>8</v>
      </c>
      <c r="B7" s="19" t="s">
        <v>67</v>
      </c>
      <c r="C7" s="19">
        <v>0.2</v>
      </c>
      <c r="D7" s="19">
        <v>0.6</v>
      </c>
    </row>
    <row r="8" spans="1:4">
      <c r="A8" s="19" t="s">
        <v>8</v>
      </c>
      <c r="B8" s="19" t="s">
        <v>43</v>
      </c>
      <c r="C8" s="19">
        <v>0.2</v>
      </c>
      <c r="D8" s="19">
        <v>0.6</v>
      </c>
    </row>
    <row r="9" spans="1:4">
      <c r="A9" s="19" t="s">
        <v>9</v>
      </c>
      <c r="B9" s="19" t="s">
        <v>15</v>
      </c>
      <c r="C9" s="19">
        <v>0.2</v>
      </c>
      <c r="D9" s="19">
        <v>0.6</v>
      </c>
    </row>
    <row r="10" spans="1:4">
      <c r="A10" s="19" t="s">
        <v>9</v>
      </c>
      <c r="B10" s="19" t="s">
        <v>27</v>
      </c>
      <c r="C10" s="19">
        <v>0.2</v>
      </c>
      <c r="D10" s="19">
        <v>0.6</v>
      </c>
    </row>
    <row r="11" spans="1:4">
      <c r="A11" s="19" t="s">
        <v>9</v>
      </c>
      <c r="B11" s="19" t="s">
        <v>53</v>
      </c>
      <c r="C11" s="19">
        <v>0.2</v>
      </c>
      <c r="D11" s="19">
        <v>0.6</v>
      </c>
    </row>
    <row r="12" spans="1:4">
      <c r="A12" s="19" t="s">
        <v>9</v>
      </c>
      <c r="B12" s="19" t="s">
        <v>61</v>
      </c>
      <c r="C12" s="19">
        <v>0.3</v>
      </c>
      <c r="D12" s="19">
        <v>0.9</v>
      </c>
    </row>
    <row r="13" spans="1:4">
      <c r="A13" s="19" t="s">
        <v>9</v>
      </c>
      <c r="B13" s="19" t="s">
        <v>16</v>
      </c>
      <c r="C13" s="19">
        <v>0.3</v>
      </c>
      <c r="D13" s="19">
        <v>0.9</v>
      </c>
    </row>
    <row r="14" spans="1:4">
      <c r="A14" s="19" t="s">
        <v>10</v>
      </c>
      <c r="B14" s="19" t="s">
        <v>19</v>
      </c>
      <c r="C14" s="19">
        <v>0.3</v>
      </c>
      <c r="D14" s="19">
        <v>0.9</v>
      </c>
    </row>
    <row r="15" spans="1:4">
      <c r="A15" s="19" t="s">
        <v>10</v>
      </c>
      <c r="B15" s="19" t="s">
        <v>18</v>
      </c>
      <c r="C15" s="19">
        <v>0.3</v>
      </c>
      <c r="D15" s="19">
        <v>0.9</v>
      </c>
    </row>
    <row r="16" spans="1:4">
      <c r="A16" s="19" t="s">
        <v>10</v>
      </c>
      <c r="B16" s="19" t="s">
        <v>44</v>
      </c>
      <c r="C16" s="19">
        <v>0.3</v>
      </c>
      <c r="D16" s="19">
        <v>0.9</v>
      </c>
    </row>
    <row r="17" spans="1:4">
      <c r="A17" s="19" t="s">
        <v>10</v>
      </c>
      <c r="B17" s="19" t="s">
        <v>58</v>
      </c>
      <c r="C17" s="19">
        <v>0.5</v>
      </c>
      <c r="D17" s="19">
        <v>0</v>
      </c>
    </row>
    <row r="18" spans="1:4">
      <c r="A18" s="19" t="s">
        <v>10</v>
      </c>
      <c r="B18" s="19" t="s">
        <v>64</v>
      </c>
      <c r="C18" s="19">
        <v>0.5</v>
      </c>
      <c r="D18" s="19">
        <v>0</v>
      </c>
    </row>
    <row r="19" spans="1:4">
      <c r="A19" s="19" t="s">
        <v>10</v>
      </c>
      <c r="B19" s="19" t="s">
        <v>81</v>
      </c>
      <c r="C19" s="19">
        <v>0.5</v>
      </c>
      <c r="D19" s="19">
        <v>0</v>
      </c>
    </row>
    <row r="20" spans="1:4">
      <c r="A20" s="19" t="s">
        <v>10</v>
      </c>
      <c r="B20" s="19" t="s">
        <v>92</v>
      </c>
      <c r="C20" s="19">
        <v>0.5</v>
      </c>
      <c r="D20" s="19">
        <v>0</v>
      </c>
    </row>
    <row r="21" spans="1:4">
      <c r="A21" s="19" t="s">
        <v>11</v>
      </c>
      <c r="B21" s="19" t="s">
        <v>28</v>
      </c>
      <c r="C21" s="19">
        <v>0.5</v>
      </c>
      <c r="D21" s="19">
        <v>0</v>
      </c>
    </row>
    <row r="22" spans="1:4">
      <c r="A22" s="19" t="s">
        <v>11</v>
      </c>
      <c r="B22" s="19" t="s">
        <v>31</v>
      </c>
      <c r="C22" s="19">
        <v>0.5</v>
      </c>
      <c r="D22" s="19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zoomScale="121" zoomScaleNormal="121" workbookViewId="0">
      <selection activeCell="D21" sqref="D21"/>
    </sheetView>
  </sheetViews>
  <sheetFormatPr defaultColWidth="9" defaultRowHeight="16.8" outlineLevelCol="3"/>
  <cols>
    <col min="1" max="1" width="7.625" style="1" customWidth="1"/>
    <col min="2" max="2" width="10.625" style="1" customWidth="1"/>
    <col min="3" max="3" width="15.625" style="1" customWidth="1"/>
    <col min="4" max="4" width="45.625" style="2" customWidth="1"/>
  </cols>
  <sheetData>
    <row r="1" ht="47" customHeight="1" spans="1:4">
      <c r="A1" s="3" t="s">
        <v>124</v>
      </c>
      <c r="B1" s="3"/>
      <c r="C1" s="3"/>
      <c r="D1" s="3"/>
    </row>
    <row r="2" ht="15" customHeight="1" spans="1:4">
      <c r="A2" s="4" t="s">
        <v>125</v>
      </c>
      <c r="B2" s="5" t="s">
        <v>121</v>
      </c>
      <c r="C2" s="5" t="s">
        <v>126</v>
      </c>
      <c r="D2" s="5" t="s">
        <v>127</v>
      </c>
    </row>
    <row r="3" ht="15" customHeight="1" spans="1:4">
      <c r="A3" s="6">
        <v>1</v>
      </c>
      <c r="B3" s="7" t="s">
        <v>44</v>
      </c>
      <c r="C3" s="8" t="s">
        <v>45</v>
      </c>
      <c r="D3" s="7"/>
    </row>
    <row r="4" ht="15" customHeight="1" spans="1:4">
      <c r="A4" s="6">
        <v>2</v>
      </c>
      <c r="B4" s="7" t="s">
        <v>31</v>
      </c>
      <c r="C4" s="8" t="s">
        <v>45</v>
      </c>
      <c r="D4" s="7"/>
    </row>
    <row r="5" ht="15" customHeight="1" spans="1:4">
      <c r="A5" s="6">
        <v>3</v>
      </c>
      <c r="B5" s="7" t="s">
        <v>46</v>
      </c>
      <c r="C5" s="8" t="s">
        <v>45</v>
      </c>
      <c r="D5" s="7"/>
    </row>
    <row r="6" ht="15" customHeight="1" spans="1:4">
      <c r="A6" s="6">
        <v>4</v>
      </c>
      <c r="B6" s="7" t="s">
        <v>47</v>
      </c>
      <c r="C6" s="8" t="s">
        <v>45</v>
      </c>
      <c r="D6" s="7"/>
    </row>
    <row r="7" ht="15" customHeight="1" spans="1:4">
      <c r="A7" s="6">
        <v>5</v>
      </c>
      <c r="B7" s="7" t="s">
        <v>81</v>
      </c>
      <c r="C7" s="8" t="s">
        <v>82</v>
      </c>
      <c r="D7" s="7"/>
    </row>
    <row r="8" ht="15" customHeight="1" spans="1:4">
      <c r="A8" s="6">
        <v>6</v>
      </c>
      <c r="B8" s="7" t="s">
        <v>48</v>
      </c>
      <c r="C8" s="8" t="s">
        <v>82</v>
      </c>
      <c r="D8" s="7"/>
    </row>
    <row r="9" ht="15" customHeight="1" spans="1:4">
      <c r="A9" s="6">
        <v>7</v>
      </c>
      <c r="B9" s="7" t="s">
        <v>84</v>
      </c>
      <c r="C9" s="8" t="s">
        <v>82</v>
      </c>
      <c r="D9" s="7"/>
    </row>
    <row r="10" ht="15" customHeight="1" spans="1:4">
      <c r="A10" s="6">
        <v>8</v>
      </c>
      <c r="B10" s="7" t="s">
        <v>88</v>
      </c>
      <c r="C10" s="8" t="s">
        <v>82</v>
      </c>
      <c r="D10" s="7"/>
    </row>
    <row r="11" ht="15" customHeight="1" spans="1:4">
      <c r="A11" s="6">
        <v>9</v>
      </c>
      <c r="B11" s="7" t="s">
        <v>89</v>
      </c>
      <c r="C11" s="8" t="s">
        <v>82</v>
      </c>
      <c r="D11" s="7"/>
    </row>
    <row r="12" ht="15" customHeight="1" spans="1:4">
      <c r="A12" s="6">
        <v>10</v>
      </c>
      <c r="B12" s="7" t="s">
        <v>40</v>
      </c>
      <c r="C12" s="8" t="s">
        <v>82</v>
      </c>
      <c r="D12" s="7"/>
    </row>
    <row r="13" ht="15" customHeight="1" spans="1:4">
      <c r="A13" s="6">
        <v>11</v>
      </c>
      <c r="B13" s="7" t="s">
        <v>90</v>
      </c>
      <c r="C13" s="8" t="s">
        <v>82</v>
      </c>
      <c r="D13" s="7"/>
    </row>
    <row r="14" ht="15" customHeight="1" spans="1:4">
      <c r="A14" s="6">
        <v>12</v>
      </c>
      <c r="B14" s="7" t="s">
        <v>85</v>
      </c>
      <c r="C14" s="8" t="s">
        <v>82</v>
      </c>
      <c r="D14" s="7"/>
    </row>
    <row r="15" ht="35" customHeight="1" spans="1:4">
      <c r="A15" s="9" t="s">
        <v>128</v>
      </c>
      <c r="B15" s="9"/>
      <c r="C15" s="9"/>
      <c r="D15" s="9"/>
    </row>
    <row r="16" spans="1:4">
      <c r="A16"/>
      <c r="B16"/>
      <c r="C16"/>
      <c r="D16"/>
    </row>
    <row r="17" ht="17" spans="1:4">
      <c r="A17" s="10" t="s">
        <v>129</v>
      </c>
      <c r="B17" s="11">
        <v>12</v>
      </c>
      <c r="C17" s="12"/>
      <c r="D17" s="13"/>
    </row>
    <row r="18" ht="17" spans="1:4">
      <c r="A18" s="10" t="s">
        <v>130</v>
      </c>
      <c r="B18" s="11" t="s">
        <v>131</v>
      </c>
      <c r="C18" s="12" t="s">
        <v>132</v>
      </c>
      <c r="D18" s="13"/>
    </row>
    <row r="19" spans="1:4">
      <c r="A19" s="14" t="s">
        <v>133</v>
      </c>
      <c r="B19" s="15">
        <v>0.2</v>
      </c>
      <c r="C19" s="15">
        <v>0.4</v>
      </c>
      <c r="D19" s="16"/>
    </row>
    <row r="20" spans="1:4">
      <c r="A20" s="14" t="s">
        <v>134</v>
      </c>
      <c r="B20" s="15">
        <f>B17*0.3+B19</f>
        <v>3.8</v>
      </c>
      <c r="C20" s="15">
        <f>B17*0.4+C19</f>
        <v>5.2</v>
      </c>
      <c r="D20" s="16"/>
    </row>
    <row r="21" spans="1:4">
      <c r="A21" s="14" t="s">
        <v>135</v>
      </c>
      <c r="B21" s="17">
        <f>B20-INT(B20)</f>
        <v>0.8</v>
      </c>
      <c r="C21" s="17">
        <f>C20-INT(C20)</f>
        <v>0.200000000000001</v>
      </c>
      <c r="D21" s="18"/>
    </row>
  </sheetData>
  <mergeCells count="3">
    <mergeCell ref="A1:D1"/>
    <mergeCell ref="A15:D15"/>
    <mergeCell ref="B17:C17"/>
  </mergeCells>
  <conditionalFormatting sqref="B9">
    <cfRule type="duplicateValues" dxfId="0" priority="7"/>
  </conditionalFormatting>
  <conditionalFormatting sqref="B13">
    <cfRule type="duplicateValues" dxfId="0" priority="2"/>
  </conditionalFormatting>
  <conditionalFormatting sqref="B14">
    <cfRule type="duplicateValues" dxfId="0" priority="4"/>
  </conditionalFormatting>
  <conditionalFormatting sqref="B4:B6">
    <cfRule type="duplicateValues" dxfId="0" priority="9"/>
  </conditionalFormatting>
  <conditionalFormatting sqref="B7:B8">
    <cfRule type="duplicateValues" dxfId="0" priority="8"/>
  </conditionalFormatting>
  <conditionalFormatting sqref="B10:B12">
    <cfRule type="duplicateValues" dxfId="0" priority="6"/>
  </conditionalFormatting>
  <conditionalFormatting sqref="B17:B18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要求</vt:lpstr>
      <vt:lpstr>人员情况表</vt:lpstr>
      <vt:lpstr>指标余留</vt:lpstr>
      <vt:lpstr>输出模版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土豆丝</cp:lastModifiedBy>
  <dcterms:created xsi:type="dcterms:W3CDTF">2023-05-13T11:15:00Z</dcterms:created>
  <dcterms:modified xsi:type="dcterms:W3CDTF">2025-12-25T19:02:05Z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410F6205C42546438EA8DD1590B3C50E_12</vt:lpwstr>
  </property>
  <property fmtid="{D5CDD505-2E9C-101B-9397-08002B2CF9AE}" pid="4" name="CalculationRule">
    <vt:i4>0</vt:i4>
  </property>
</Properties>
</file>